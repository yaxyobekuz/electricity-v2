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<sst xmlns="http://schemas.openxmlformats.org/spreadsheetml/2006/main" count="50" uniqueCount="43">
  <si>
    <t>Чинобод ЭТ тасарруфидаги НИМ станция Чинобод 110/35/10 кВ подстанциядан чиқувчи 10 кВ Фидерлар хақида маълумот</t>
  </si>
  <si>
    <t>Подстанция номи</t>
  </si>
  <si>
    <t>Транчформатор маълумоти</t>
  </si>
  <si>
    <t>10 кВ Фидерлар</t>
  </si>
  <si>
    <t>01.07.2026 га хисоблагич курсаткичи</t>
  </si>
  <si>
    <t>01.08.2026 га хисоблагич курсаткичи</t>
  </si>
  <si>
    <t>Фарки</t>
  </si>
  <si>
    <t>Коэфиценти</t>
  </si>
  <si>
    <t>Бир ойлик окиб утган электр</t>
  </si>
  <si>
    <t>Elektr oqimi</t>
  </si>
  <si>
    <t>Texnoligik yo'qotish 12% koefitsiyent</t>
  </si>
  <si>
    <t>Tijoriy yo'qotish</t>
  </si>
  <si>
    <t>ВВОД Т1  25 000 кВА</t>
  </si>
  <si>
    <t>НИМ станция Чинобод 110/35/10</t>
  </si>
  <si>
    <t>ЧПЗ</t>
  </si>
  <si>
    <t>4000</t>
  </si>
  <si>
    <t>Бўзчи</t>
  </si>
  <si>
    <t>8952</t>
  </si>
  <si>
    <t>3000</t>
  </si>
  <si>
    <t>Парранда</t>
  </si>
  <si>
    <t>10791</t>
  </si>
  <si>
    <t>2000</t>
  </si>
  <si>
    <t>Тўмор</t>
  </si>
  <si>
    <t>2872</t>
  </si>
  <si>
    <t>Қўргонгаз</t>
  </si>
  <si>
    <t>804</t>
  </si>
  <si>
    <t>1000</t>
  </si>
  <si>
    <t>Жами</t>
  </si>
  <si>
    <t>ВВОД Т2   40 000 кВА</t>
  </si>
  <si>
    <t>oqim</t>
  </si>
  <si>
    <t>Жўжахона</t>
  </si>
  <si>
    <t>28181</t>
  </si>
  <si>
    <t>Қияли</t>
  </si>
  <si>
    <t>8450</t>
  </si>
  <si>
    <t>Камолий</t>
  </si>
  <si>
    <t>18470</t>
  </si>
  <si>
    <t>6000</t>
  </si>
  <si>
    <t>Ташлама</t>
  </si>
  <si>
    <t>7312</t>
  </si>
  <si>
    <t>Тола</t>
  </si>
  <si>
    <t>17523</t>
  </si>
  <si>
    <t>Хақулобод</t>
  </si>
  <si>
    <t>19850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</si>
</sst>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_₽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Times New Roman"/>
    </font>
    <font/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right" shrinkToFit="0" vertical="center" wrapText="1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readingOrder="0"/>
    </xf>
    <xf borderId="1" fillId="3" fontId="1" numFmtId="0" xfId="0" applyBorder="1" applyFont="1"/>
    <xf borderId="1" fillId="4" fontId="1" numFmtId="0" xfId="0" applyBorder="1" applyFont="1"/>
    <xf borderId="3" fillId="0" fontId="3" numFmtId="0" xfId="0" applyBorder="1" applyFont="1"/>
    <xf borderId="1" fillId="3" fontId="1" numFmtId="0" xfId="0" applyAlignment="1" applyBorder="1" applyFont="1">
      <alignment vertical="center"/>
    </xf>
    <xf borderId="1" fillId="3" fontId="1" numFmtId="164" xfId="0" applyAlignment="1" applyBorder="1" applyFont="1" applyNumberFormat="1">
      <alignment horizontal="right" shrinkToFit="0" vertical="center" wrapText="1"/>
    </xf>
    <xf borderId="1" fillId="3" fontId="4" numFmtId="164" xfId="0" applyAlignment="1" applyBorder="1" applyFont="1" applyNumberFormat="1">
      <alignment horizontal="right" shrinkToFit="0" vertical="center" wrapText="1"/>
    </xf>
    <xf borderId="1" fillId="2" fontId="1" numFmtId="0" xfId="0" applyBorder="1" applyFont="1"/>
    <xf borderId="1" fillId="5" fontId="1" numFmtId="164" xfId="0" applyAlignment="1" applyBorder="1" applyFill="1" applyFont="1" applyNumberFormat="1">
      <alignment horizontal="right" shrinkToFit="0" vertical="center" wrapText="1"/>
    </xf>
    <xf borderId="1" fillId="4" fontId="1" numFmtId="164" xfId="0" applyBorder="1" applyFont="1" applyNumberFormat="1"/>
    <xf borderId="1" fillId="0" fontId="1" numFmtId="164" xfId="0" applyAlignment="1" applyBorder="1" applyFont="1" applyNumberFormat="1">
      <alignment horizontal="right" readingOrder="0" shrinkToFit="0" vertical="center" wrapText="1"/>
    </xf>
    <xf borderId="4" fillId="0" fontId="3" numFmtId="0" xfId="0" applyBorder="1" applyFont="1"/>
    <xf borderId="1" fillId="3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1.71"/>
    <col customWidth="1" min="3" max="3" width="33.43"/>
    <col customWidth="1" min="4" max="4" width="19.0"/>
    <col customWidth="1" min="5" max="5" width="16.29"/>
    <col customWidth="1" min="6" max="8" width="15.0"/>
    <col customWidth="1" min="9" max="9" width="15.14"/>
    <col customWidth="1" min="10" max="10" width="10.86"/>
    <col customWidth="1" min="11" max="11" width="11.43"/>
    <col customWidth="1" min="12" max="12" width="10.29"/>
  </cols>
  <sheetData>
    <row r="1">
      <c r="A1" s="1" t="s">
        <v>0</v>
      </c>
    </row>
    <row r="3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 t="s">
        <v>10</v>
      </c>
      <c r="L3" s="2" t="s">
        <v>11</v>
      </c>
    </row>
    <row r="4">
      <c r="A4" s="2"/>
      <c r="B4" s="2"/>
      <c r="C4" s="4" t="s">
        <v>12</v>
      </c>
      <c r="D4" s="2"/>
      <c r="E4" s="5"/>
      <c r="F4" s="2"/>
      <c r="G4" s="6"/>
      <c r="H4" s="5"/>
      <c r="I4" s="7"/>
      <c r="J4" s="8"/>
      <c r="K4" s="9"/>
      <c r="L4" s="10"/>
    </row>
    <row r="5">
      <c r="A5" s="11"/>
      <c r="B5" s="12" t="s">
        <v>13</v>
      </c>
      <c r="D5" s="11" t="s">
        <v>14</v>
      </c>
      <c r="E5" s="7">
        <v>1290.0</v>
      </c>
      <c r="F5" s="7">
        <v>1295.0</v>
      </c>
      <c r="G5" s="7">
        <f t="shared" ref="G5:G9" si="1">+F5-E5</f>
        <v>5</v>
      </c>
      <c r="H5" s="7" t="s">
        <v>15</v>
      </c>
      <c r="I5" s="7">
        <f t="shared" ref="I5:I9" si="2">+H5*G5</f>
        <v>20000</v>
      </c>
      <c r="J5" s="13"/>
      <c r="K5" s="14"/>
      <c r="L5" s="15"/>
    </row>
    <row r="6">
      <c r="A6" s="11"/>
      <c r="B6" s="16"/>
      <c r="C6" s="4"/>
      <c r="D6" s="11" t="s">
        <v>16</v>
      </c>
      <c r="E6" s="7" t="s">
        <v>17</v>
      </c>
      <c r="F6" s="7">
        <v>9194.0</v>
      </c>
      <c r="G6" s="7">
        <f t="shared" si="1"/>
        <v>242</v>
      </c>
      <c r="H6" s="7" t="s">
        <v>18</v>
      </c>
      <c r="I6" s="7">
        <f t="shared" si="2"/>
        <v>726000</v>
      </c>
      <c r="J6" s="13"/>
      <c r="K6" s="14"/>
      <c r="L6" s="15"/>
    </row>
    <row r="7">
      <c r="A7" s="11"/>
      <c r="B7" s="16"/>
      <c r="C7" s="4"/>
      <c r="D7" s="11" t="s">
        <v>19</v>
      </c>
      <c r="E7" s="7" t="s">
        <v>20</v>
      </c>
      <c r="F7" s="7">
        <v>10926.0</v>
      </c>
      <c r="G7" s="7">
        <f t="shared" si="1"/>
        <v>135</v>
      </c>
      <c r="H7" s="7" t="s">
        <v>21</v>
      </c>
      <c r="I7" s="7">
        <f t="shared" si="2"/>
        <v>270000</v>
      </c>
      <c r="J7" s="13"/>
      <c r="K7" s="14"/>
      <c r="L7" s="15"/>
    </row>
    <row r="8">
      <c r="A8" s="11"/>
      <c r="B8" s="16"/>
      <c r="C8" s="4"/>
      <c r="D8" s="11" t="s">
        <v>22</v>
      </c>
      <c r="E8" s="7" t="s">
        <v>23</v>
      </c>
      <c r="F8" s="7">
        <v>3009.0</v>
      </c>
      <c r="G8" s="7">
        <f t="shared" si="1"/>
        <v>137</v>
      </c>
      <c r="H8" s="7" t="s">
        <v>21</v>
      </c>
      <c r="I8" s="7">
        <f t="shared" si="2"/>
        <v>274000</v>
      </c>
      <c r="J8" s="13"/>
      <c r="K8" s="14"/>
      <c r="L8" s="15"/>
    </row>
    <row r="9">
      <c r="A9" s="11"/>
      <c r="B9" s="16"/>
      <c r="C9" s="4"/>
      <c r="D9" s="11" t="s">
        <v>24</v>
      </c>
      <c r="E9" s="7" t="s">
        <v>25</v>
      </c>
      <c r="F9" s="7">
        <v>845.0</v>
      </c>
      <c r="G9" s="7">
        <f t="shared" si="1"/>
        <v>41</v>
      </c>
      <c r="H9" s="7" t="s">
        <v>26</v>
      </c>
      <c r="I9" s="7">
        <f t="shared" si="2"/>
        <v>41000</v>
      </c>
      <c r="J9" s="13"/>
      <c r="K9" s="14"/>
      <c r="L9" s="15"/>
    </row>
    <row r="10">
      <c r="A10" s="11"/>
      <c r="B10" s="16"/>
      <c r="C10" s="17" t="s">
        <v>27</v>
      </c>
      <c r="D10" s="14"/>
      <c r="E10" s="18"/>
      <c r="F10" s="18"/>
      <c r="G10" s="18"/>
      <c r="H10" s="18"/>
      <c r="I10" s="19">
        <f>SUM(I5:I9)</f>
        <v>1331000</v>
      </c>
      <c r="J10" s="20"/>
      <c r="K10" s="14"/>
      <c r="L10" s="15"/>
    </row>
    <row r="11">
      <c r="A11" s="11"/>
      <c r="B11" s="16"/>
      <c r="C11" s="4" t="s">
        <v>28</v>
      </c>
      <c r="D11" s="11"/>
      <c r="E11" s="7"/>
      <c r="F11" s="7"/>
      <c r="G11" s="7"/>
      <c r="H11" s="7"/>
      <c r="I11" s="7" t="s">
        <v>29</v>
      </c>
      <c r="J11" s="20"/>
      <c r="K11" s="14"/>
      <c r="L11" s="15"/>
    </row>
    <row r="12">
      <c r="A12" s="11"/>
      <c r="B12" s="16"/>
      <c r="D12" s="11" t="s">
        <v>30</v>
      </c>
      <c r="E12" s="7" t="s">
        <v>31</v>
      </c>
      <c r="F12" s="7">
        <v>28325.0</v>
      </c>
      <c r="G12" s="7">
        <f t="shared" ref="G12:G17" si="3">+F12-E12</f>
        <v>144</v>
      </c>
      <c r="H12" s="7" t="s">
        <v>18</v>
      </c>
      <c r="I12" s="21">
        <f t="shared" ref="I12:I17" si="4">+H12*G12</f>
        <v>432000</v>
      </c>
      <c r="J12" s="20">
        <v>317911.8</v>
      </c>
      <c r="K12" s="14">
        <f t="shared" ref="K12:K17" si="5">+I12*12/100</f>
        <v>51840</v>
      </c>
      <c r="L12" s="22">
        <f t="shared" ref="L12:L17" si="6">+I12-J12-K12</f>
        <v>62248.2</v>
      </c>
    </row>
    <row r="13">
      <c r="A13" s="11"/>
      <c r="B13" s="16"/>
      <c r="C13" s="4"/>
      <c r="D13" s="11" t="s">
        <v>32</v>
      </c>
      <c r="E13" s="7" t="s">
        <v>33</v>
      </c>
      <c r="F13" s="7">
        <v>8550.0</v>
      </c>
      <c r="G13" s="7">
        <f t="shared" si="3"/>
        <v>100</v>
      </c>
      <c r="H13" s="7" t="s">
        <v>21</v>
      </c>
      <c r="I13" s="7">
        <f t="shared" si="4"/>
        <v>200000</v>
      </c>
      <c r="J13" s="13">
        <v>155565.7</v>
      </c>
      <c r="K13" s="14">
        <f t="shared" si="5"/>
        <v>24000</v>
      </c>
      <c r="L13" s="22">
        <f t="shared" si="6"/>
        <v>20434.3</v>
      </c>
    </row>
    <row r="14" ht="15.75" customHeight="1">
      <c r="A14" s="11"/>
      <c r="B14" s="16"/>
      <c r="C14" s="4"/>
      <c r="D14" s="11" t="s">
        <v>34</v>
      </c>
      <c r="E14" s="7" t="s">
        <v>35</v>
      </c>
      <c r="F14" s="23">
        <v>18607.0</v>
      </c>
      <c r="G14" s="7">
        <f t="shared" si="3"/>
        <v>137</v>
      </c>
      <c r="H14" s="7" t="s">
        <v>36</v>
      </c>
      <c r="I14" s="7">
        <f t="shared" si="4"/>
        <v>822000</v>
      </c>
      <c r="J14" s="13">
        <v>565384.9</v>
      </c>
      <c r="K14" s="14">
        <f t="shared" si="5"/>
        <v>98640</v>
      </c>
      <c r="L14" s="22">
        <f t="shared" si="6"/>
        <v>157975.1</v>
      </c>
    </row>
    <row r="15" ht="15.75" customHeight="1">
      <c r="A15" s="11"/>
      <c r="B15" s="16"/>
      <c r="C15" s="4"/>
      <c r="D15" s="11" t="s">
        <v>37</v>
      </c>
      <c r="E15" s="7" t="s">
        <v>38</v>
      </c>
      <c r="F15" s="7">
        <v>7451.0</v>
      </c>
      <c r="G15" s="7">
        <f t="shared" si="3"/>
        <v>139</v>
      </c>
      <c r="H15" s="7" t="s">
        <v>21</v>
      </c>
      <c r="I15" s="7">
        <f t="shared" si="4"/>
        <v>278000</v>
      </c>
      <c r="J15" s="13">
        <v>237989.3</v>
      </c>
      <c r="K15" s="14">
        <f t="shared" si="5"/>
        <v>33360</v>
      </c>
      <c r="L15" s="22">
        <f t="shared" si="6"/>
        <v>6650.7</v>
      </c>
    </row>
    <row r="16" ht="15.75" customHeight="1">
      <c r="A16" s="11"/>
      <c r="B16" s="16"/>
      <c r="C16" s="4"/>
      <c r="D16" s="11" t="s">
        <v>39</v>
      </c>
      <c r="E16" s="7" t="s">
        <v>40</v>
      </c>
      <c r="F16" s="7">
        <v>17594.0</v>
      </c>
      <c r="G16" s="7">
        <f t="shared" si="3"/>
        <v>71</v>
      </c>
      <c r="H16" s="7" t="s">
        <v>18</v>
      </c>
      <c r="I16" s="7">
        <f t="shared" si="4"/>
        <v>213000</v>
      </c>
      <c r="J16" s="13">
        <v>155987.9</v>
      </c>
      <c r="K16" s="14">
        <f t="shared" si="5"/>
        <v>25560</v>
      </c>
      <c r="L16" s="22">
        <f t="shared" si="6"/>
        <v>31452.1</v>
      </c>
    </row>
    <row r="17" ht="15.75" customHeight="1">
      <c r="A17" s="11"/>
      <c r="B17" s="24"/>
      <c r="C17" s="4"/>
      <c r="D17" s="11" t="s">
        <v>41</v>
      </c>
      <c r="E17" s="7" t="s">
        <v>42</v>
      </c>
      <c r="F17" s="23">
        <v>20112.0</v>
      </c>
      <c r="G17" s="7">
        <f t="shared" si="3"/>
        <v>262</v>
      </c>
      <c r="H17" s="7" t="s">
        <v>15</v>
      </c>
      <c r="I17" s="7">
        <f t="shared" si="4"/>
        <v>1048000</v>
      </c>
      <c r="J17" s="13">
        <v>683812.3</v>
      </c>
      <c r="K17" s="14">
        <f t="shared" si="5"/>
        <v>125760</v>
      </c>
      <c r="L17" s="22">
        <f t="shared" si="6"/>
        <v>238427.7</v>
      </c>
    </row>
    <row r="18" ht="15.75" customHeight="1">
      <c r="A18" s="11"/>
      <c r="B18" s="11"/>
      <c r="C18" s="14" t="s">
        <v>27</v>
      </c>
      <c r="D18" s="14"/>
      <c r="E18" s="18"/>
      <c r="F18" s="18"/>
      <c r="G18" s="18"/>
      <c r="H18" s="18"/>
      <c r="I18" s="25">
        <f>SUM(I11:I17)</f>
        <v>2993000</v>
      </c>
      <c r="J18" s="20">
        <f>J12+J13+J14+J14+J15+J16+J17</f>
        <v>2682036.8</v>
      </c>
      <c r="K18" s="14">
        <f t="shared" ref="K18:L18" si="7">SUM(K12:K17)</f>
        <v>359160</v>
      </c>
      <c r="L18" s="22">
        <f t="shared" si="7"/>
        <v>517188.1</v>
      </c>
    </row>
  </sheetData>
  <mergeCells count="2">
    <mergeCell ref="A1:I1"/>
    <mergeCell ref="B5:B17"/>
  </mergeCells>
  <printOptions/>
  <pageMargins bottom="0.75" footer="0.0" header="0.0" left="0.7" right="0.7" top="0.75"/>
  <pageSetup paperSize="9" orientation="portrait"/>
  <drawing r:id="rId1"/>
</worksheet>
</file>